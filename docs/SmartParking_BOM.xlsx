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<sst xmlns="http://schemas.openxmlformats.org/spreadsheetml/2006/main" count="76" uniqueCount="64">
  <si>
    <t xml:space="preserve">Smart Parking System  —  Bill of Materials</t>
  </si>
  <si>
    <t xml:space="preserve">Arduino-based Smart Parking Management System   ·   real-hardware build</t>
  </si>
  <si>
    <t xml:space="preserve">Currency: USD ($)    ·    Prices are indicative — replace with your supplier (e.g. Robotistan) quotes before final submission</t>
  </si>
  <si>
    <t xml:space="preserve">Item</t>
  </si>
  <si>
    <t xml:space="preserve">Category</t>
  </si>
  <si>
    <t xml:space="preserve">Component / Part</t>
  </si>
  <si>
    <t xml:space="preserve">Key Specification</t>
  </si>
  <si>
    <t xml:space="preserve">Interface / Pin</t>
  </si>
  <si>
    <t xml:space="preserve">Qty</t>
  </si>
  <si>
    <t xml:space="preserve">Unit Price ($)</t>
  </si>
  <si>
    <t xml:space="preserve">Line Total ($)</t>
  </si>
  <si>
    <t xml:space="preserve">Required</t>
  </si>
  <si>
    <t xml:space="preserve">Function / Notes</t>
  </si>
  <si>
    <t xml:space="preserve">Core Control</t>
  </si>
  <si>
    <t xml:space="preserve">Arduino Uno R3 (ATmega328P)</t>
  </si>
  <si>
    <t xml:space="preserve">8-bit MCU board, 16 MHz, 14 digital I/O, 6 analog in</t>
  </si>
  <si>
    <t xml:space="preserve">USB / host</t>
  </si>
  <si>
    <t xml:space="preserve">Yes</t>
  </si>
  <si>
    <t xml:space="preserve">Edge controller — runs the state machine, reads sensors, drives all actuators</t>
  </si>
  <si>
    <t xml:space="preserve">Input — Sensor</t>
  </si>
  <si>
    <t xml:space="preserve">FC-51 IR Obstacle Sensor — Entrance</t>
  </si>
  <si>
    <t xml:space="preserve">LM393 comparator, potentiometer-calibrated, active-LOW digital output</t>
  </si>
  <si>
    <t xml:space="preserve">D2 (digital in)</t>
  </si>
  <si>
    <t xml:space="preserve">Detects a vehicle breaking the beam at the entrance lane</t>
  </si>
  <si>
    <t xml:space="preserve">FC-51 IR Obstacle Sensor — Exit</t>
  </si>
  <si>
    <t xml:space="preserve">D3 (digital in)</t>
  </si>
  <si>
    <t xml:space="preserve">Detects a vehicle leaving at the exit lane</t>
  </si>
  <si>
    <t xml:space="preserve">Output — Actuator</t>
  </si>
  <si>
    <t xml:space="preserve">TowerPro SG90 Micro Servo (9g)</t>
  </si>
  <si>
    <t xml:space="preserve">Plastic-gear, 0°–90° travel, 4.8–6 V, hardware-PWM control</t>
  </si>
  <si>
    <t xml:space="preserve">D9 (PWM)</t>
  </si>
  <si>
    <t xml:space="preserve">Raises (90°) / lowers (0°) the physical gate arm</t>
  </si>
  <si>
    <t xml:space="preserve">Output — Display</t>
  </si>
  <si>
    <t xml:space="preserve">16x2 LCD + PCF8574 I2C Backpack</t>
  </si>
  <si>
    <t xml:space="preserve">HD44780 16x2 char, I2C address 0x27, 2-wire interface</t>
  </si>
  <si>
    <t xml:space="preserve">A4/SDA, A5/SCL</t>
  </si>
  <si>
    <t xml:space="preserve">Shows live slot count and OPEN / FULL status</t>
  </si>
  <si>
    <t xml:space="preserve">Output — Indicator</t>
  </si>
  <si>
    <t xml:space="preserve">Traffic-Light LED Module</t>
  </si>
  <si>
    <t xml:space="preserve">Red/Yellow/Green, common cathode, onboard SMD current-limit resistors</t>
  </si>
  <si>
    <t xml:space="preserve">D5, D6, D7</t>
  </si>
  <si>
    <t xml:space="preserve">Visual parking status (no VCC pin — common cathode)</t>
  </si>
  <si>
    <t xml:space="preserve">Output — Audio</t>
  </si>
  <si>
    <t xml:space="preserve">Active Piezo Buzzer Module</t>
  </si>
  <si>
    <t xml:space="preserve">Active piezo transducer, driven by tone() square wave</t>
  </si>
  <si>
    <t xml:space="preserve">D8 (digital)</t>
  </si>
  <si>
    <t xml:space="preserve">Entry confirmation chime and lot-full alarm</t>
  </si>
  <si>
    <t xml:space="preserve">Prototyping</t>
  </si>
  <si>
    <t xml:space="preserve">Mini Breadboard (170 tie-points)</t>
  </si>
  <si>
    <t xml:space="preserve">Solderless, 170 contact points, self-adhesive base</t>
  </si>
  <si>
    <t xml:space="preserve">—</t>
  </si>
  <si>
    <t xml:space="preserve">Local mounting node for the servo and traffic-light module</t>
  </si>
  <si>
    <t xml:space="preserve">Supporting (opt.)</t>
  </si>
  <si>
    <t xml:space="preserve">Jumper Wires — Dupont set</t>
  </si>
  <si>
    <t xml:space="preserve">M-M / M-F, 2.54 mm, assorted lengths</t>
  </si>
  <si>
    <t xml:space="preserve">Optional</t>
  </si>
  <si>
    <t xml:space="preserve">Interconnect between the Uno and modules</t>
  </si>
  <si>
    <t xml:space="preserve">USB Cable (A–B)</t>
  </si>
  <si>
    <t xml:space="preserve">Standard printer-type cable</t>
  </si>
  <si>
    <t xml:space="preserve">USB</t>
  </si>
  <si>
    <t xml:space="preserve">Firmware upload and power to the Uno</t>
  </si>
  <si>
    <t xml:space="preserve">TOTAL — required items</t>
  </si>
  <si>
    <t xml:space="preserve">TOTAL — including optional items</t>
  </si>
  <si>
    <t xml:space="preserve">Distinct line items / total units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</si>
</sst>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.5"/>
      <color rgb="FFFFFFFF"/>
      <name val="Arial"/>
      <family val="0"/>
      <charset val="1"/>
    </font>
    <font>
      <i val="true"/>
      <sz val="9"/>
      <color rgb="FF5B6B7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color theme="1"/>
      <name val="Arial"/>
      <family val="0"/>
      <charset val="1"/>
    </font>
    <font>
      <b val="true"/>
      <sz val="9.5"/>
      <color rgb="FF1F2D3D"/>
      <name val="Arial"/>
      <family val="0"/>
      <charset val="1"/>
    </font>
    <font>
      <b val="true"/>
      <sz val="9.5"/>
      <color rgb="FF3B6D11"/>
      <name val="Arial"/>
      <family val="0"/>
      <charset val="1"/>
    </font>
    <font>
      <b val="true"/>
      <sz val="9.5"/>
      <color rgb="FF854F0B"/>
      <name val="Arial"/>
      <family val="0"/>
      <charset val="1"/>
    </font>
    <font>
      <b val="true"/>
      <sz val="10"/>
      <color rgb="FF1F2D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D3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2545"/>
        <bgColor rgb="FF1F2D3D"/>
      </patternFill>
    </fill>
    <fill>
      <patternFill patternType="solid">
        <fgColor rgb="FF12A4B4"/>
        <bgColor rgb="FF008080"/>
      </patternFill>
    </fill>
    <fill>
      <patternFill patternType="solid">
        <fgColor rgb="FFDCE6F1"/>
        <bgColor rgb="FFE1F5EE"/>
      </patternFill>
    </fill>
    <fill>
      <patternFill patternType="solid">
        <fgColor rgb="FFE1F5EE"/>
        <bgColor rgb="FFF1EFE8"/>
      </patternFill>
    </fill>
    <fill>
      <patternFill patternType="solid">
        <fgColor rgb="FFFCEFE3"/>
        <bgColor rgb="FFF1EFE8"/>
      </patternFill>
    </fill>
    <fill>
      <patternFill patternType="solid">
        <fgColor rgb="FFF1EFE8"/>
        <bgColor rgb="FFF4F4F2"/>
      </patternFill>
    </fill>
    <fill>
      <patternFill patternType="solid">
        <fgColor rgb="FFF4F4F2"/>
        <bgColor rgb="FFF1EF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7D3DD"/>
      </left>
      <right style="thin">
        <color rgb="FFC7D3DD"/>
      </right>
      <top style="thin">
        <color rgb="FFC7D3DD"/>
      </top>
      <bottom style="thin">
        <color rgb="FFC7D3DD"/>
      </bottom>
      <diagonal/>
    </border>
    <border diagonalUp="false" diagonalDown="false">
      <left style="medium">
        <color rgb="FF0B2545"/>
      </left>
      <right style="medium">
        <color rgb="FF0B2545"/>
      </right>
      <top style="medium">
        <color rgb="FF0B2545"/>
      </top>
      <bottom style="medium">
        <color rgb="FF0B254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FE3"/>
      <rgbColor rgb="FFE1F5EE"/>
      <rgbColor rgb="FF660066"/>
      <rgbColor rgb="FFFF8080"/>
      <rgbColor rgb="FF0066CC"/>
      <rgbColor rgb="FFC7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1EFE8"/>
      <rgbColor rgb="FFF4F4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B"/>
      <rgbColor rgb="FF969696"/>
      <rgbColor rgb="FF0B2545"/>
      <rgbColor rgb="FF12A4B4"/>
      <rgbColor rgb="FF003300"/>
      <rgbColor rgb="FF333300"/>
      <rgbColor rgb="FF854F0B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3"/>
    <col collapsed="false" customWidth="true" hidden="false" outlineLevel="0" max="4" min="4" style="0" width="40"/>
    <col collapsed="false" customWidth="true" hidden="false" outlineLevel="0" max="5" min="5" style="0" width="15"/>
    <col collapsed="false" customWidth="true" hidden="false" outlineLevel="0" max="6" min="6" style="0" width="6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23.85" hidden="false" customHeight="false" outlineLevel="0" collapsed="false">
      <c r="A6" s="5" t="n">
        <v>1</v>
      </c>
      <c r="B6" s="6" t="s">
        <v>13</v>
      </c>
      <c r="C6" s="7" t="s">
        <v>14</v>
      </c>
      <c r="D6" s="7" t="s">
        <v>15</v>
      </c>
      <c r="E6" s="8" t="s">
        <v>16</v>
      </c>
      <c r="F6" s="5" t="n">
        <v>1</v>
      </c>
      <c r="G6" s="9" t="n">
        <v>8.5</v>
      </c>
      <c r="H6" s="9" t="n">
        <f aca="false">F6*G6</f>
        <v>8.5</v>
      </c>
      <c r="I6" s="10" t="s">
        <v>17</v>
      </c>
      <c r="J6" s="7" t="s">
        <v>18</v>
      </c>
    </row>
    <row r="7" customFormat="false" ht="23.85" hidden="false" customHeight="false" outlineLevel="0" collapsed="false">
      <c r="A7" s="5" t="n">
        <v>2</v>
      </c>
      <c r="B7" s="11" t="s">
        <v>19</v>
      </c>
      <c r="C7" s="7" t="s">
        <v>20</v>
      </c>
      <c r="D7" s="7" t="s">
        <v>21</v>
      </c>
      <c r="E7" s="8" t="s">
        <v>22</v>
      </c>
      <c r="F7" s="5" t="n">
        <v>1</v>
      </c>
      <c r="G7" s="9" t="n">
        <v>1.2</v>
      </c>
      <c r="H7" s="9" t="n">
        <f aca="false">F7*G7</f>
        <v>1.2</v>
      </c>
      <c r="I7" s="10" t="s">
        <v>17</v>
      </c>
      <c r="J7" s="7" t="s">
        <v>23</v>
      </c>
    </row>
    <row r="8" customFormat="false" ht="23.85" hidden="false" customHeight="false" outlineLevel="0" collapsed="false">
      <c r="A8" s="5" t="n">
        <v>3</v>
      </c>
      <c r="B8" s="11" t="s">
        <v>19</v>
      </c>
      <c r="C8" s="7" t="s">
        <v>24</v>
      </c>
      <c r="D8" s="7" t="s">
        <v>21</v>
      </c>
      <c r="E8" s="8" t="s">
        <v>25</v>
      </c>
      <c r="F8" s="5" t="n">
        <v>1</v>
      </c>
      <c r="G8" s="9" t="n">
        <v>1.2</v>
      </c>
      <c r="H8" s="9" t="n">
        <f aca="false">F8*G8</f>
        <v>1.2</v>
      </c>
      <c r="I8" s="10" t="s">
        <v>17</v>
      </c>
      <c r="J8" s="7" t="s">
        <v>26</v>
      </c>
    </row>
    <row r="9" customFormat="false" ht="23.85" hidden="false" customHeight="false" outlineLevel="0" collapsed="false">
      <c r="A9" s="5" t="n">
        <v>4</v>
      </c>
      <c r="B9" s="12" t="s">
        <v>27</v>
      </c>
      <c r="C9" s="7" t="s">
        <v>28</v>
      </c>
      <c r="D9" s="7" t="s">
        <v>29</v>
      </c>
      <c r="E9" s="8" t="s">
        <v>30</v>
      </c>
      <c r="F9" s="5" t="n">
        <v>1</v>
      </c>
      <c r="G9" s="9" t="n">
        <v>2.5</v>
      </c>
      <c r="H9" s="9" t="n">
        <f aca="false">F9*G9</f>
        <v>2.5</v>
      </c>
      <c r="I9" s="10" t="s">
        <v>17</v>
      </c>
      <c r="J9" s="7" t="s">
        <v>31</v>
      </c>
    </row>
    <row r="10" customFormat="false" ht="23.85" hidden="false" customHeight="false" outlineLevel="0" collapsed="false">
      <c r="A10" s="5" t="n">
        <v>5</v>
      </c>
      <c r="B10" s="12" t="s">
        <v>32</v>
      </c>
      <c r="C10" s="7" t="s">
        <v>33</v>
      </c>
      <c r="D10" s="7" t="s">
        <v>34</v>
      </c>
      <c r="E10" s="8" t="s">
        <v>35</v>
      </c>
      <c r="F10" s="5" t="n">
        <v>1</v>
      </c>
      <c r="G10" s="9" t="n">
        <v>4</v>
      </c>
      <c r="H10" s="9" t="n">
        <f aca="false">F10*G10</f>
        <v>4</v>
      </c>
      <c r="I10" s="10" t="s">
        <v>17</v>
      </c>
      <c r="J10" s="7" t="s">
        <v>36</v>
      </c>
    </row>
    <row r="11" customFormat="false" ht="23.85" hidden="false" customHeight="false" outlineLevel="0" collapsed="false">
      <c r="A11" s="5" t="n">
        <v>6</v>
      </c>
      <c r="B11" s="12" t="s">
        <v>37</v>
      </c>
      <c r="C11" s="7" t="s">
        <v>38</v>
      </c>
      <c r="D11" s="7" t="s">
        <v>39</v>
      </c>
      <c r="E11" s="8" t="s">
        <v>40</v>
      </c>
      <c r="F11" s="5" t="n">
        <v>1</v>
      </c>
      <c r="G11" s="9" t="n">
        <v>2</v>
      </c>
      <c r="H11" s="9" t="n">
        <f aca="false">F11*G11</f>
        <v>2</v>
      </c>
      <c r="I11" s="10" t="s">
        <v>17</v>
      </c>
      <c r="J11" s="7" t="s">
        <v>41</v>
      </c>
    </row>
    <row r="12" customFormat="false" ht="23.85" hidden="false" customHeight="false" outlineLevel="0" collapsed="false">
      <c r="A12" s="5" t="n">
        <v>7</v>
      </c>
      <c r="B12" s="12" t="s">
        <v>42</v>
      </c>
      <c r="C12" s="7" t="s">
        <v>43</v>
      </c>
      <c r="D12" s="7" t="s">
        <v>44</v>
      </c>
      <c r="E12" s="8" t="s">
        <v>45</v>
      </c>
      <c r="F12" s="5" t="n">
        <v>1</v>
      </c>
      <c r="G12" s="9" t="n">
        <v>0.8</v>
      </c>
      <c r="H12" s="9" t="n">
        <f aca="false">F12*G12</f>
        <v>0.8</v>
      </c>
      <c r="I12" s="10" t="s">
        <v>17</v>
      </c>
      <c r="J12" s="7" t="s">
        <v>46</v>
      </c>
    </row>
    <row r="13" customFormat="false" ht="23.85" hidden="false" customHeight="false" outlineLevel="0" collapsed="false">
      <c r="A13" s="5" t="n">
        <v>8</v>
      </c>
      <c r="B13" s="13" t="s">
        <v>47</v>
      </c>
      <c r="C13" s="7" t="s">
        <v>48</v>
      </c>
      <c r="D13" s="7" t="s">
        <v>49</v>
      </c>
      <c r="E13" s="8" t="s">
        <v>50</v>
      </c>
      <c r="F13" s="5" t="n">
        <v>1</v>
      </c>
      <c r="G13" s="9" t="n">
        <v>1.5</v>
      </c>
      <c r="H13" s="9" t="n">
        <f aca="false">F13*G13</f>
        <v>1.5</v>
      </c>
      <c r="I13" s="10" t="s">
        <v>17</v>
      </c>
      <c r="J13" s="7" t="s">
        <v>51</v>
      </c>
    </row>
    <row r="14" customFormat="false" ht="15" hidden="false" customHeight="false" outlineLevel="0" collapsed="false">
      <c r="A14" s="5" t="n">
        <v>9</v>
      </c>
      <c r="B14" s="14" t="s">
        <v>52</v>
      </c>
      <c r="C14" s="7" t="s">
        <v>53</v>
      </c>
      <c r="D14" s="7" t="s">
        <v>54</v>
      </c>
      <c r="E14" s="8" t="s">
        <v>50</v>
      </c>
      <c r="F14" s="5" t="n">
        <v>1</v>
      </c>
      <c r="G14" s="9" t="n">
        <v>2</v>
      </c>
      <c r="H14" s="9" t="n">
        <f aca="false">F14*G14</f>
        <v>2</v>
      </c>
      <c r="I14" s="15" t="s">
        <v>55</v>
      </c>
      <c r="J14" s="7" t="s">
        <v>56</v>
      </c>
    </row>
    <row r="15" customFormat="false" ht="15" hidden="false" customHeight="false" outlineLevel="0" collapsed="false">
      <c r="A15" s="5" t="n">
        <v>10</v>
      </c>
      <c r="B15" s="14" t="s">
        <v>52</v>
      </c>
      <c r="C15" s="7" t="s">
        <v>57</v>
      </c>
      <c r="D15" s="7" t="s">
        <v>58</v>
      </c>
      <c r="E15" s="8" t="s">
        <v>59</v>
      </c>
      <c r="F15" s="5" t="n">
        <v>1</v>
      </c>
      <c r="G15" s="9" t="n">
        <v>1.5</v>
      </c>
      <c r="H15" s="9" t="n">
        <f aca="false">F15*G15</f>
        <v>1.5</v>
      </c>
      <c r="I15" s="15" t="s">
        <v>55</v>
      </c>
      <c r="J15" s="7" t="s">
        <v>60</v>
      </c>
    </row>
    <row r="17" customFormat="false" ht="15" hidden="false" customHeight="false" outlineLevel="0" collapsed="false">
      <c r="C17" s="16" t="s">
        <v>61</v>
      </c>
      <c r="D17" s="16"/>
      <c r="E17" s="16"/>
      <c r="F17" s="16"/>
      <c r="G17" s="16"/>
      <c r="H17" s="17" t="n">
        <f aca="false">SUMIF(I6:I15,"Yes",H6:H15)</f>
        <v>21.7</v>
      </c>
    </row>
    <row r="18" customFormat="false" ht="15" hidden="false" customHeight="false" outlineLevel="0" collapsed="false">
      <c r="C18" s="16" t="s">
        <v>62</v>
      </c>
      <c r="D18" s="16"/>
      <c r="E18" s="16"/>
      <c r="F18" s="16"/>
      <c r="G18" s="16"/>
      <c r="H18" s="18" t="n">
        <f aca="false">SUM(H6:H15)</f>
        <v>25.2</v>
      </c>
    </row>
    <row r="19" customFormat="false" ht="15" hidden="false" customHeight="false" outlineLevel="0" collapsed="false">
      <c r="C19" s="19" t="s">
        <v>63</v>
      </c>
      <c r="D19" s="19"/>
      <c r="E19" s="19"/>
      <c r="F19" s="19"/>
      <c r="G19" s="19"/>
      <c r="H19" s="20" t="str">
        <f aca="false">COUNTA(C6:C15)&amp;" items / "&amp;SUM(F6:F15)&amp;" units"</f>
        <v>10 items / 10 units</v>
      </c>
    </row>
  </sheetData>
  <mergeCells count="6">
    <mergeCell ref="A1:J1"/>
    <mergeCell ref="A2:J2"/>
    <mergeCell ref="A3:J3"/>
    <mergeCell ref="C17:G17"/>
    <mergeCell ref="C18:G18"/>
    <mergeCell ref="C19:G1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2026-06-10T21:54:09Z</dcterms:created>
  <dc:creator>openpyxl</dc:creator>
  <dc:description/>
  <dc:language>en-US</dc:language>
  <cp:lastModifiedBy/>
  <dcterms:modified xsi:type="dcterms:W3CDTF">2026-06-10T21:54:09Z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